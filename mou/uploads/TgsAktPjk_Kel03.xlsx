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KSI SEM 3\Akuntansi Keuangan Menengah 3\"/>
    </mc:Choice>
  </mc:AlternateContent>
  <xr:revisionPtr revIDLastSave="0" documentId="8_{412F569E-76F6-4356-91F5-DAC590C8ED58}" xr6:coauthVersionLast="47" xr6:coauthVersionMax="47" xr10:uidLastSave="{00000000-0000-0000-0000-000000000000}"/>
  <bookViews>
    <workbookView xWindow="-110" yWindow="-110" windowWidth="19420" windowHeight="10300" firstSheet="5" activeTab="6" xr2:uid="{1773C1F9-0AFA-403D-A822-96FA5EEC6A96}"/>
  </bookViews>
  <sheets>
    <sheet name="nomor 1" sheetId="1" r:id="rId1"/>
    <sheet name="nomor 2" sheetId="2" r:id="rId2"/>
    <sheet name="nomor 3" sheetId="3" r:id="rId3"/>
    <sheet name="nomor 4" sheetId="4" r:id="rId4"/>
    <sheet name="nomor 5" sheetId="5" r:id="rId5"/>
    <sheet name="nomor 6" sheetId="6" r:id="rId6"/>
    <sheet name="nomor 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6" l="1"/>
  <c r="C16" i="6"/>
  <c r="C15" i="6"/>
  <c r="G15" i="5"/>
  <c r="H18" i="7"/>
  <c r="H19" i="7" s="1"/>
  <c r="F14" i="7"/>
  <c r="D16" i="7"/>
  <c r="D15" i="7"/>
  <c r="F17" i="7" s="1"/>
  <c r="G14" i="5"/>
  <c r="F13" i="5"/>
  <c r="F28" i="4"/>
  <c r="F22" i="4"/>
  <c r="F12" i="5" s="1"/>
  <c r="F17" i="4"/>
  <c r="D12" i="4"/>
  <c r="F12" i="4" s="1"/>
  <c r="F10" i="3"/>
  <c r="F10" i="2"/>
  <c r="F9" i="1"/>
  <c r="D9" i="1"/>
</calcChain>
</file>

<file path=xl/sharedStrings.xml><?xml version="1.0" encoding="utf-8"?>
<sst xmlns="http://schemas.openxmlformats.org/spreadsheetml/2006/main" count="78" uniqueCount="42">
  <si>
    <t>1)</t>
  </si>
  <si>
    <t>Perusahaan komersial</t>
  </si>
  <si>
    <t>a)</t>
  </si>
  <si>
    <t>Pajak fiskal</t>
  </si>
  <si>
    <t>Perbedaan</t>
  </si>
  <si>
    <t>b)</t>
  </si>
  <si>
    <t>Liabilitas pajak ditangguhkan</t>
  </si>
  <si>
    <t>2)</t>
  </si>
  <si>
    <t>Beban kerugian piutang</t>
  </si>
  <si>
    <t>b) ASET pajak ditangguhkan</t>
  </si>
  <si>
    <t>Beban Sewa</t>
  </si>
  <si>
    <t>PERBEDAAN TEMPORER</t>
  </si>
  <si>
    <t>Aset pajak ditangguhkan</t>
  </si>
  <si>
    <t>PERBEDAAN PERMANEN</t>
  </si>
  <si>
    <t>Beban natura</t>
  </si>
  <si>
    <t>3)</t>
  </si>
  <si>
    <t>Tidak masuk aset dan liabilitas pajak ditangguhkan , tapi masuk ke perbedaan permanen perusahaan</t>
  </si>
  <si>
    <t>4)</t>
  </si>
  <si>
    <t>Penghasilan kena pajak (PKP) 2020</t>
  </si>
  <si>
    <t>+</t>
  </si>
  <si>
    <t>5)</t>
  </si>
  <si>
    <t xml:space="preserve">Aset pajak ditangguhkan </t>
  </si>
  <si>
    <t xml:space="preserve">Beban pajak </t>
  </si>
  <si>
    <t>Laba sebelum pajak 2020</t>
  </si>
  <si>
    <t xml:space="preserve">Kewajiban pajak ditangguhkan </t>
  </si>
  <si>
    <t xml:space="preserve">Utang pajak </t>
  </si>
  <si>
    <t>6)</t>
  </si>
  <si>
    <t xml:space="preserve"> (+)</t>
  </si>
  <si>
    <t>BEBAN PAJAK</t>
  </si>
  <si>
    <t xml:space="preserve"> (-)</t>
  </si>
  <si>
    <t>LAPORAN LABA RUGI</t>
  </si>
  <si>
    <t>LSP</t>
  </si>
  <si>
    <t>BEBAN PAJAK :</t>
  </si>
  <si>
    <t>7)</t>
  </si>
  <si>
    <t>LABA SEBELUM PAJAK</t>
  </si>
  <si>
    <t>(-)</t>
  </si>
  <si>
    <t>Tangguhan</t>
  </si>
  <si>
    <t xml:space="preserve">Kini (current year) </t>
  </si>
  <si>
    <t>Net Income</t>
  </si>
  <si>
    <t xml:space="preserve"> =</t>
  </si>
  <si>
    <t>Tarif pajak efektif =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</si>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</sst>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165" fontId="0" fillId="2" borderId="0" xfId="0" applyNumberFormat="1" applyFill="1"/>
    <xf numFmtId="0" fontId="2" fillId="0" borderId="0" xfId="0" applyFont="1"/>
    <xf numFmtId="0" fontId="2" fillId="2" borderId="0" xfId="0" applyFont="1" applyFill="1"/>
    <xf numFmtId="165" fontId="0" fillId="2" borderId="2" xfId="1" applyNumberFormat="1" applyFont="1" applyFill="1" applyBorder="1"/>
    <xf numFmtId="0" fontId="2" fillId="3" borderId="0" xfId="0" applyFont="1" applyFill="1"/>
    <xf numFmtId="165" fontId="2" fillId="3" borderId="0" xfId="0" applyNumberFormat="1" applyFont="1" applyFill="1"/>
    <xf numFmtId="0" fontId="0" fillId="4" borderId="0" xfId="0" applyFill="1"/>
    <xf numFmtId="0" fontId="2" fillId="4" borderId="0" xfId="0" applyFont="1" applyFill="1"/>
    <xf numFmtId="165" fontId="0" fillId="4" borderId="0" xfId="1" applyNumberFormat="1" applyFont="1" applyFill="1"/>
    <xf numFmtId="165" fontId="0" fillId="0" borderId="0" xfId="1" applyNumberFormat="1" applyFont="1" applyFill="1"/>
    <xf numFmtId="0" fontId="0" fillId="0" borderId="0" xfId="0" applyFill="1"/>
    <xf numFmtId="165" fontId="0" fillId="0" borderId="0" xfId="0" applyNumberFormat="1" applyFill="1"/>
    <xf numFmtId="165" fontId="0" fillId="0" borderId="2" xfId="0" applyNumberFormat="1" applyBorder="1"/>
    <xf numFmtId="165" fontId="0" fillId="0" borderId="2" xfId="0" applyNumberFormat="1" applyFill="1" applyBorder="1"/>
    <xf numFmtId="0" fontId="0" fillId="0" borderId="0" xfId="0" applyFont="1"/>
    <xf numFmtId="0" fontId="2" fillId="0" borderId="0" xfId="0" applyFont="1" applyAlignment="1">
      <alignment horizontal="right"/>
    </xf>
    <xf numFmtId="0" fontId="0" fillId="0" borderId="2" xfId="0" applyBorder="1"/>
    <xf numFmtId="0" fontId="0" fillId="0" borderId="0" xfId="0" applyAlignment="1">
      <alignment horizontal="right"/>
    </xf>
    <xf numFmtId="9" fontId="0" fillId="2" borderId="0" xfId="2" applyFont="1" applyFill="1"/>
    <xf numFmtId="165" fontId="0" fillId="0" borderId="1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107950</xdr:colOff>
      <xdr:row>0</xdr:row>
      <xdr:rowOff>127000</xdr:rowOff>
    </xdr:from>
    <xdr:to>
      <xdr:col>5</xdr:col>
      <xdr:colOff>251883</xdr:colOff>
      <xdr:row>5</xdr:row>
      <xdr:rowOff>134741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54B027-E103-4F65-90E7-3B06C3791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50" y="127000"/>
          <a:ext cx="4988983" cy="9284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203868</xdr:colOff>
      <xdr:row>6</xdr:row>
      <xdr:rowOff>97994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B6F793-9DAB-43CA-A2FA-ECF3C9DC2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4928268" cy="10187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1</xdr:row>
      <xdr:rowOff>6350</xdr:rowOff>
    </xdr:from>
    <xdr:to>
      <xdr:col>5</xdr:col>
      <xdr:colOff>395567</xdr:colOff>
      <xdr:row>6</xdr:row>
      <xdr:rowOff>112239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9B84B2-A62A-4E25-9022-1B8212952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50" y="190500"/>
          <a:ext cx="5069167" cy="10266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</xdr:row>
      <xdr:rowOff>0</xdr:rowOff>
    </xdr:from>
    <xdr:to>
      <xdr:col>3</xdr:col>
      <xdr:colOff>1114311</xdr:colOff>
      <xdr:row>9</xdr:row>
      <xdr:rowOff>19543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3DE263-E83A-4153-A13B-2B23D4F68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184150"/>
          <a:ext cx="3470161" cy="14927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165100</xdr:rowOff>
    </xdr:from>
    <xdr:to>
      <xdr:col>5</xdr:col>
      <xdr:colOff>759742</xdr:colOff>
      <xdr:row>9</xdr:row>
      <xdr:rowOff>87604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BD4170-A009-43D8-9D9F-C35DF9983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65100"/>
          <a:ext cx="3560092" cy="15798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0</xdr:row>
      <xdr:rowOff>95250</xdr:rowOff>
    </xdr:from>
    <xdr:to>
      <xdr:col>6</xdr:col>
      <xdr:colOff>413780</xdr:colOff>
      <xdr:row>9</xdr:row>
      <xdr:rowOff>127895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CADE85-1A09-461A-8747-FD841BAFA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350" y="95250"/>
          <a:ext cx="4115830" cy="16899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158750</xdr:rowOff>
    </xdr:from>
    <xdr:to>
      <xdr:col>3</xdr:col>
      <xdr:colOff>772442</xdr:colOff>
      <xdr:row>9</xdr:row>
      <xdr:rowOff>98423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61EF5-95A0-4D90-AA61-6E73BA2BA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58750"/>
          <a:ext cx="3509292" cy="15970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D2665-8A84-4EAF-A5F5-6B66327FBD19}">
  <dimension ref="A7:F11"/>
  <sheetViews>
    <sheetView workbookViewId="0">
      <selection activeCell="A8" sqref="A8:F11"/>
    </sheetView>
  </sheetViews>
  <sheetFormatPr defaultRowHeight="14.5" x14ac:dyDescent="0.35"/>
  <cols>
    <col min="3" max="3" width="19.6328125" customWidth="1"/>
    <col min="4" max="4" width="19" customWidth="1"/>
    <col min="5" max="5" width="13.26953125" customWidth="1"/>
    <col min="6" max="6" width="10.6328125" bestFit="1" customWidth="1"/>
  </cols>
  <sheetData>
    <row r="7" spans="1:6" x14ac:dyDescent="0.35">
      <c r="B7" s="4" t="s">
        <v>11</v>
      </c>
    </row>
    <row r="8" spans="1:6" x14ac:dyDescent="0.35">
      <c r="A8" t="s">
        <v>0</v>
      </c>
      <c r="B8" t="s">
        <v>2</v>
      </c>
      <c r="D8" s="4" t="s">
        <v>1</v>
      </c>
      <c r="E8" s="4" t="s">
        <v>3</v>
      </c>
      <c r="F8" s="5" t="s">
        <v>4</v>
      </c>
    </row>
    <row r="9" spans="1:6" x14ac:dyDescent="0.35">
      <c r="C9" t="s">
        <v>10</v>
      </c>
      <c r="D9" s="1">
        <f>6/12*18000000</f>
        <v>9000000</v>
      </c>
      <c r="E9" s="1">
        <v>18000000</v>
      </c>
      <c r="F9" s="3">
        <f>D9-E9</f>
        <v>-9000000</v>
      </c>
    </row>
    <row r="11" spans="1:6" x14ac:dyDescent="0.35">
      <c r="B11" t="s">
        <v>5</v>
      </c>
      <c r="C11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D51B-2AA5-4601-9192-77144F58EB57}">
  <dimension ref="A8:H12"/>
  <sheetViews>
    <sheetView workbookViewId="0">
      <selection activeCell="A9" sqref="A9:F12"/>
    </sheetView>
  </sheetViews>
  <sheetFormatPr defaultRowHeight="14.5" x14ac:dyDescent="0.35"/>
  <cols>
    <col min="3" max="3" width="20.6328125" bestFit="1" customWidth="1"/>
    <col min="4" max="4" width="19.54296875" bestFit="1" customWidth="1"/>
    <col min="5" max="7" width="10" bestFit="1" customWidth="1"/>
  </cols>
  <sheetData>
    <row r="8" spans="1:8" x14ac:dyDescent="0.35">
      <c r="B8" s="4" t="s">
        <v>11</v>
      </c>
    </row>
    <row r="9" spans="1:8" x14ac:dyDescent="0.35">
      <c r="A9" t="s">
        <v>7</v>
      </c>
      <c r="B9" t="s">
        <v>2</v>
      </c>
      <c r="D9" s="4" t="s">
        <v>1</v>
      </c>
      <c r="E9" s="4" t="s">
        <v>3</v>
      </c>
      <c r="F9" s="5" t="s">
        <v>4</v>
      </c>
      <c r="H9" t="s">
        <v>9</v>
      </c>
    </row>
    <row r="10" spans="1:8" x14ac:dyDescent="0.35">
      <c r="C10" t="s">
        <v>8</v>
      </c>
      <c r="D10" s="1">
        <v>12500000</v>
      </c>
      <c r="E10" s="1">
        <v>6500000</v>
      </c>
      <c r="F10" s="3">
        <f>D10-E10</f>
        <v>6000000</v>
      </c>
    </row>
    <row r="12" spans="1:8" x14ac:dyDescent="0.35">
      <c r="B12" t="s">
        <v>5</v>
      </c>
      <c r="C12" t="s">
        <v>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14403-E6E0-4BCE-896F-AAEFD0005302}">
  <dimension ref="A8:F12"/>
  <sheetViews>
    <sheetView topLeftCell="C1" workbookViewId="0">
      <selection activeCell="F12" sqref="F12"/>
    </sheetView>
  </sheetViews>
  <sheetFormatPr defaultRowHeight="14.5" x14ac:dyDescent="0.35"/>
  <cols>
    <col min="3" max="3" width="21.36328125" bestFit="1" customWidth="1"/>
    <col min="4" max="4" width="19.54296875" bestFit="1" customWidth="1"/>
    <col min="5" max="5" width="10.26953125" bestFit="1" customWidth="1"/>
    <col min="6" max="6" width="11" bestFit="1" customWidth="1"/>
  </cols>
  <sheetData>
    <row r="8" spans="1:6" x14ac:dyDescent="0.35">
      <c r="B8" s="4" t="s">
        <v>13</v>
      </c>
    </row>
    <row r="9" spans="1:6" x14ac:dyDescent="0.35">
      <c r="A9" t="s">
        <v>15</v>
      </c>
      <c r="B9" t="s">
        <v>2</v>
      </c>
      <c r="D9" s="4" t="s">
        <v>1</v>
      </c>
      <c r="E9" s="4" t="s">
        <v>3</v>
      </c>
      <c r="F9" s="5" t="s">
        <v>4</v>
      </c>
    </row>
    <row r="10" spans="1:6" x14ac:dyDescent="0.35">
      <c r="C10" t="s">
        <v>14</v>
      </c>
      <c r="D10" s="1">
        <v>19500000</v>
      </c>
      <c r="E10" s="1">
        <v>0</v>
      </c>
      <c r="F10" s="3">
        <f>D10-E10</f>
        <v>19500000</v>
      </c>
    </row>
    <row r="12" spans="1:6" x14ac:dyDescent="0.35">
      <c r="B12" t="s">
        <v>5</v>
      </c>
      <c r="C12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638C-6249-41C2-885B-E81F0D065888}">
  <dimension ref="A11:G28"/>
  <sheetViews>
    <sheetView topLeftCell="B19" workbookViewId="0">
      <selection activeCell="C30" sqref="C30"/>
    </sheetView>
  </sheetViews>
  <sheetFormatPr defaultRowHeight="14.5" x14ac:dyDescent="0.35"/>
  <cols>
    <col min="3" max="3" width="20.6328125" customWidth="1"/>
    <col min="4" max="4" width="19.54296875" bestFit="1" customWidth="1"/>
    <col min="5" max="5" width="11" bestFit="1" customWidth="1"/>
    <col min="6" max="6" width="12" customWidth="1"/>
  </cols>
  <sheetData>
    <row r="11" spans="1:6" x14ac:dyDescent="0.35">
      <c r="A11" s="9" t="s">
        <v>0</v>
      </c>
      <c r="B11" s="9" t="s">
        <v>2</v>
      </c>
      <c r="C11" s="9"/>
      <c r="D11" s="10" t="s">
        <v>1</v>
      </c>
      <c r="E11" s="10" t="s">
        <v>3</v>
      </c>
      <c r="F11" s="5" t="s">
        <v>4</v>
      </c>
    </row>
    <row r="12" spans="1:6" x14ac:dyDescent="0.35">
      <c r="A12" s="9"/>
      <c r="B12" s="9"/>
      <c r="C12" s="9" t="s">
        <v>10</v>
      </c>
      <c r="D12" s="11">
        <f>6/12*18000000</f>
        <v>9000000</v>
      </c>
      <c r="E12" s="11">
        <v>18000000</v>
      </c>
      <c r="F12" s="3">
        <f>D12-E12</f>
        <v>-9000000</v>
      </c>
    </row>
    <row r="13" spans="1:6" x14ac:dyDescent="0.35">
      <c r="A13" s="9"/>
      <c r="B13" s="9"/>
      <c r="C13" s="9"/>
      <c r="D13" s="9"/>
      <c r="E13" s="9"/>
      <c r="F13" s="9"/>
    </row>
    <row r="14" spans="1:6" x14ac:dyDescent="0.35">
      <c r="A14" s="9"/>
      <c r="B14" s="9" t="s">
        <v>5</v>
      </c>
      <c r="C14" s="9" t="s">
        <v>6</v>
      </c>
      <c r="D14" s="9"/>
      <c r="E14" s="9"/>
      <c r="F14" s="9"/>
    </row>
    <row r="15" spans="1:6" x14ac:dyDescent="0.35">
      <c r="A15" s="9"/>
      <c r="B15" s="9"/>
      <c r="C15" s="9"/>
      <c r="D15" s="9"/>
      <c r="E15" s="9"/>
      <c r="F15" s="9"/>
    </row>
    <row r="16" spans="1:6" x14ac:dyDescent="0.35">
      <c r="A16" s="9" t="s">
        <v>7</v>
      </c>
      <c r="B16" s="9" t="s">
        <v>2</v>
      </c>
      <c r="C16" s="9"/>
      <c r="D16" s="10" t="s">
        <v>1</v>
      </c>
      <c r="E16" s="10" t="s">
        <v>3</v>
      </c>
      <c r="F16" s="5" t="s">
        <v>4</v>
      </c>
    </row>
    <row r="17" spans="1:7" x14ac:dyDescent="0.35">
      <c r="A17" s="9"/>
      <c r="B17" s="9"/>
      <c r="C17" s="9" t="s">
        <v>8</v>
      </c>
      <c r="D17" s="11">
        <v>12500000</v>
      </c>
      <c r="E17" s="11">
        <v>6500000</v>
      </c>
      <c r="F17" s="3">
        <f>D17-E17</f>
        <v>6000000</v>
      </c>
    </row>
    <row r="18" spans="1:7" x14ac:dyDescent="0.35">
      <c r="A18" s="9"/>
      <c r="B18" s="9"/>
      <c r="C18" s="9"/>
      <c r="D18" s="9"/>
      <c r="E18" s="9"/>
      <c r="F18" s="9"/>
    </row>
    <row r="19" spans="1:7" x14ac:dyDescent="0.35">
      <c r="A19" s="9"/>
      <c r="B19" s="9" t="s">
        <v>5</v>
      </c>
      <c r="C19" s="9" t="s">
        <v>12</v>
      </c>
      <c r="D19" s="9"/>
      <c r="E19" s="9"/>
      <c r="F19" s="9"/>
    </row>
    <row r="20" spans="1:7" x14ac:dyDescent="0.35">
      <c r="A20" s="9"/>
      <c r="B20" s="9"/>
      <c r="C20" s="9"/>
      <c r="D20" s="9"/>
      <c r="E20" s="9"/>
      <c r="F20" s="9"/>
    </row>
    <row r="21" spans="1:7" x14ac:dyDescent="0.35">
      <c r="A21" s="9" t="s">
        <v>15</v>
      </c>
      <c r="B21" s="9" t="s">
        <v>2</v>
      </c>
      <c r="C21" s="9"/>
      <c r="D21" s="10" t="s">
        <v>1</v>
      </c>
      <c r="E21" s="10" t="s">
        <v>3</v>
      </c>
      <c r="F21" s="5" t="s">
        <v>4</v>
      </c>
    </row>
    <row r="22" spans="1:7" x14ac:dyDescent="0.35">
      <c r="A22" s="9"/>
      <c r="B22" s="9"/>
      <c r="C22" s="9" t="s">
        <v>14</v>
      </c>
      <c r="D22" s="11">
        <v>19500000</v>
      </c>
      <c r="E22" s="11">
        <v>0</v>
      </c>
      <c r="F22" s="3">
        <f>D22-E22</f>
        <v>19500000</v>
      </c>
    </row>
    <row r="23" spans="1:7" x14ac:dyDescent="0.35">
      <c r="A23" s="9"/>
      <c r="B23" s="9"/>
      <c r="C23" s="9"/>
      <c r="D23" s="9"/>
      <c r="E23" s="9"/>
      <c r="F23" s="9"/>
    </row>
    <row r="24" spans="1:7" x14ac:dyDescent="0.35">
      <c r="A24" s="9"/>
      <c r="B24" s="9" t="s">
        <v>5</v>
      </c>
      <c r="C24" s="9" t="s">
        <v>16</v>
      </c>
      <c r="D24" s="9"/>
      <c r="E24" s="9"/>
      <c r="F24" s="9"/>
    </row>
    <row r="26" spans="1:7" ht="15" thickBot="1" x14ac:dyDescent="0.4">
      <c r="A26" t="s">
        <v>17</v>
      </c>
      <c r="B26" t="s">
        <v>23</v>
      </c>
      <c r="F26" s="6">
        <v>70700000</v>
      </c>
      <c r="G26" t="s">
        <v>19</v>
      </c>
    </row>
    <row r="28" spans="1:7" x14ac:dyDescent="0.35">
      <c r="D28" s="7" t="s">
        <v>18</v>
      </c>
      <c r="E28" s="7"/>
      <c r="F28" s="8">
        <f>F12+F17+F22+F26</f>
        <v>87200000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115B2-2F62-4608-8422-B0AC4171959F}">
  <dimension ref="A12:G15"/>
  <sheetViews>
    <sheetView topLeftCell="A3" workbookViewId="0">
      <selection activeCell="G16" sqref="G16"/>
    </sheetView>
  </sheetViews>
  <sheetFormatPr defaultRowHeight="14.5" x14ac:dyDescent="0.35"/>
  <cols>
    <col min="6" max="7" width="11" bestFit="1" customWidth="1"/>
  </cols>
  <sheetData>
    <row r="12" spans="1:7" x14ac:dyDescent="0.35">
      <c r="A12" t="s">
        <v>20</v>
      </c>
      <c r="B12" t="s">
        <v>22</v>
      </c>
      <c r="F12" s="12">
        <f>('nomor 4'!F26+'nomor 4'!F22)*25%</f>
        <v>22550000</v>
      </c>
      <c r="G12" s="13"/>
    </row>
    <row r="13" spans="1:7" x14ac:dyDescent="0.35">
      <c r="B13" t="s">
        <v>21</v>
      </c>
      <c r="F13" s="12">
        <f>'nomor 2'!F10*25%</f>
        <v>1500000</v>
      </c>
      <c r="G13" s="13"/>
    </row>
    <row r="14" spans="1:7" x14ac:dyDescent="0.35">
      <c r="C14" t="s">
        <v>24</v>
      </c>
      <c r="F14" s="13"/>
      <c r="G14" s="12">
        <f>-('nomor 1'!F9)*25%</f>
        <v>2250000</v>
      </c>
    </row>
    <row r="15" spans="1:7" x14ac:dyDescent="0.35">
      <c r="C15" t="s">
        <v>25</v>
      </c>
      <c r="F15" s="13"/>
      <c r="G15" s="14">
        <f>'nomor 4'!F28*25%</f>
        <v>21800000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7386-C2F9-4039-BBEC-36C4A7CDE17A}">
  <dimension ref="A11:E16"/>
  <sheetViews>
    <sheetView topLeftCell="A2" workbookViewId="0">
      <selection activeCell="F15" sqref="F15"/>
    </sheetView>
  </sheetViews>
  <sheetFormatPr defaultRowHeight="14.5" x14ac:dyDescent="0.35"/>
  <cols>
    <col min="2" max="2" width="17" bestFit="1" customWidth="1"/>
    <col min="3" max="3" width="11" bestFit="1" customWidth="1"/>
    <col min="4" max="4" width="2.54296875" customWidth="1"/>
  </cols>
  <sheetData>
    <row r="11" spans="1:5" x14ac:dyDescent="0.35">
      <c r="B11" s="4"/>
    </row>
    <row r="12" spans="1:5" ht="15" thickBot="1" x14ac:dyDescent="0.4">
      <c r="A12" t="s">
        <v>26</v>
      </c>
      <c r="B12" s="18" t="s">
        <v>40</v>
      </c>
      <c r="C12" s="19" t="s">
        <v>28</v>
      </c>
    </row>
    <row r="13" spans="1:5" x14ac:dyDescent="0.35">
      <c r="C13" t="s">
        <v>31</v>
      </c>
    </row>
    <row r="15" spans="1:5" ht="15" thickBot="1" x14ac:dyDescent="0.4">
      <c r="B15" s="20" t="s">
        <v>39</v>
      </c>
      <c r="C15" s="15">
        <f>'nomor 7'!H18</f>
        <v>22550000</v>
      </c>
      <c r="D15" s="20" t="s">
        <v>41</v>
      </c>
      <c r="E15" s="21">
        <f>C15/C16</f>
        <v>0.31895332390381897</v>
      </c>
    </row>
    <row r="16" spans="1:5" x14ac:dyDescent="0.35">
      <c r="C16" s="2">
        <f>'nomor 4'!F26</f>
        <v>70700000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57E85-FE6E-453E-9623-8C9DEE8DC77B}">
  <dimension ref="A11:I22"/>
  <sheetViews>
    <sheetView tabSelected="1" topLeftCell="C11" workbookViewId="0">
      <selection activeCell="O15" sqref="O15"/>
    </sheetView>
  </sheetViews>
  <sheetFormatPr defaultRowHeight="14.5" x14ac:dyDescent="0.35"/>
  <cols>
    <col min="2" max="2" width="15.7265625" customWidth="1"/>
    <col min="3" max="3" width="18.54296875" bestFit="1" customWidth="1"/>
    <col min="4" max="4" width="14.26953125" customWidth="1"/>
    <col min="5" max="5" width="10" bestFit="1" customWidth="1"/>
    <col min="6" max="6" width="11" bestFit="1" customWidth="1"/>
    <col min="8" max="8" width="11" bestFit="1" customWidth="1"/>
  </cols>
  <sheetData>
    <row r="11" spans="1:6" x14ac:dyDescent="0.35">
      <c r="B11" s="4" t="s">
        <v>30</v>
      </c>
    </row>
    <row r="12" spans="1:6" x14ac:dyDescent="0.35">
      <c r="B12" s="17" t="s">
        <v>34</v>
      </c>
    </row>
    <row r="13" spans="1:6" x14ac:dyDescent="0.35">
      <c r="A13" t="s">
        <v>33</v>
      </c>
      <c r="B13" t="s">
        <v>32</v>
      </c>
    </row>
    <row r="14" spans="1:6" x14ac:dyDescent="0.35">
      <c r="C14" t="s">
        <v>37</v>
      </c>
      <c r="F14" s="2">
        <f>'nomor 5'!G15</f>
        <v>21800000</v>
      </c>
    </row>
    <row r="15" spans="1:6" x14ac:dyDescent="0.35">
      <c r="C15" t="s">
        <v>36</v>
      </c>
      <c r="D15" s="14">
        <f>'nomor 5'!G14</f>
        <v>2250000</v>
      </c>
    </row>
    <row r="16" spans="1:6" ht="15" thickBot="1" x14ac:dyDescent="0.4">
      <c r="D16" s="16">
        <f>'nomor 5'!F13</f>
        <v>1500000</v>
      </c>
      <c r="E16" t="s">
        <v>35</v>
      </c>
    </row>
    <row r="17" spans="2:9" x14ac:dyDescent="0.35">
      <c r="F17" s="3">
        <f>D15-D16</f>
        <v>750000</v>
      </c>
      <c r="G17" t="s">
        <v>27</v>
      </c>
    </row>
    <row r="18" spans="2:9" x14ac:dyDescent="0.35">
      <c r="F18" s="1" t="s">
        <v>28</v>
      </c>
      <c r="H18" s="22">
        <f>SUM(F14:F17)</f>
        <v>22550000</v>
      </c>
      <c r="I18" t="s">
        <v>29</v>
      </c>
    </row>
    <row r="19" spans="2:9" x14ac:dyDescent="0.35">
      <c r="F19" s="1" t="s">
        <v>38</v>
      </c>
      <c r="H19" s="3">
        <f>'nomor 4'!F26-'nomor 7'!H18</f>
        <v>48150000</v>
      </c>
    </row>
    <row r="20" spans="2:9" x14ac:dyDescent="0.35">
      <c r="C20" s="1"/>
    </row>
    <row r="21" spans="2:9" x14ac:dyDescent="0.35">
      <c r="B21" s="1"/>
    </row>
    <row r="22" spans="2:9" x14ac:dyDescent="0.35">
      <c r="B22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C250-6F49-456F-925F-914D696A4A0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nomor 1</vt:lpstr>
      <vt:lpstr>nomor 2</vt:lpstr>
      <vt:lpstr>nomor 3</vt:lpstr>
      <vt:lpstr>nomor 4</vt:lpstr>
      <vt:lpstr>nomor 5</vt:lpstr>
      <vt:lpstr>nomor 6</vt:lpstr>
      <vt:lpstr>nomor 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 tri</dc:creator>
  <cp:lastModifiedBy>va tri</cp:lastModifiedBy>
  <dcterms:created xsi:type="dcterms:W3CDTF">2024-10-29T01:08:16Z</dcterms:created>
  <dcterms:modified xsi:type="dcterms:W3CDTF">2024-10-29T02:19:43Z</dcterms:modified>
</cp:coreProperties>
</file>